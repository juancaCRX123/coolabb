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General" sheetId="1" state="visible" r:id="rId1"/>
    <sheet xmlns:r="http://schemas.openxmlformats.org/officeDocument/2006/relationships" name="Resumen_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 &quot;años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5" customWidth="1" min="4" max="4"/>
    <col width="17" customWidth="1" min="5" max="5"/>
    <col width="17" customWidth="1" min="6" max="6"/>
    <col width="22" customWidth="1" min="7" max="7"/>
    <col width="20" customWidth="1" min="8" max="8"/>
    <col width="22" customWidth="1" min="9" max="9"/>
    <col width="56" customWidth="1" min="10" max="10"/>
    <col width="27" customWidth="1" min="11" max="11"/>
    <col width="20" customWidth="1" min="12" max="12"/>
  </cols>
  <sheetData>
    <row r="1">
      <c r="A1" s="1" t="inlineStr">
        <is>
          <t>ID Empleado</t>
        </is>
      </c>
      <c r="B1" s="1" t="inlineStr">
        <is>
          <t>Nombre Completo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Fecha Ingreso</t>
        </is>
      </c>
      <c r="F1" s="1" t="inlineStr">
        <is>
          <t>Tipo Contrato</t>
        </is>
      </c>
      <c r="G1" s="1" t="inlineStr">
        <is>
          <t>Salario Básico ($)</t>
        </is>
      </c>
      <c r="H1" s="1" t="inlineStr">
        <is>
          <t>Desempeño (1-5)</t>
        </is>
      </c>
      <c r="I1" s="1" t="inlineStr">
        <is>
          <t>Satisfacción (1-5)</t>
        </is>
      </c>
      <c r="J1" s="1" t="inlineStr">
        <is>
          <t>Est. Permanencia (Meses)</t>
        </is>
      </c>
      <c r="K1" s="1" t="inlineStr">
        <is>
          <t>Est. Permanencia (Años)</t>
        </is>
      </c>
      <c r="L1" s="1" t="inlineStr">
        <is>
          <t>Riesgo Retención</t>
        </is>
      </c>
    </row>
    <row r="2">
      <c r="A2" s="2" t="inlineStr">
        <is>
          <t>EMP-101</t>
        </is>
      </c>
      <c r="B2" s="2" t="inlineStr">
        <is>
          <t>Juan Pérez</t>
        </is>
      </c>
      <c r="C2" s="2" t="inlineStr">
        <is>
          <t>Ventas</t>
        </is>
      </c>
      <c r="D2" s="2" t="inlineStr">
        <is>
          <t>Ejecutivo de Ventas</t>
        </is>
      </c>
      <c r="E2" s="2" t="inlineStr">
        <is>
          <t>2021-08-02</t>
        </is>
      </c>
      <c r="F2" s="2" t="inlineStr">
        <is>
          <t>Indefinido</t>
        </is>
      </c>
      <c r="G2" s="3" t="n">
        <v>4554301</v>
      </c>
      <c r="H2" s="2" t="n">
        <v>3.2</v>
      </c>
      <c r="I2" s="2" t="n">
        <v>4.4</v>
      </c>
      <c r="J2" s="2">
        <f>ROUND((H2*6)+(I2*8)+IF(F2="Indefinido",12,4), 0)</f>
        <v/>
      </c>
      <c r="K2" s="2">
        <f>ROUND(J2/12, 1)</f>
        <v/>
      </c>
      <c r="L2" s="2" t="inlineStr">
        <is>
          <t>Bajo</t>
        </is>
      </c>
    </row>
    <row r="3">
      <c r="A3" s="2" t="inlineStr">
        <is>
          <t>EMP-102</t>
        </is>
      </c>
      <c r="B3" s="2" t="inlineStr">
        <is>
          <t>María Rodríguez</t>
        </is>
      </c>
      <c r="C3" s="2" t="inlineStr">
        <is>
          <t>Recursos Humanos</t>
        </is>
      </c>
      <c r="D3" s="2" t="inlineStr">
        <is>
          <t>Generalista RH</t>
        </is>
      </c>
      <c r="E3" s="2" t="inlineStr">
        <is>
          <t>2018-10-13</t>
        </is>
      </c>
      <c r="F3" s="2" t="inlineStr">
        <is>
          <t>Indefinido</t>
        </is>
      </c>
      <c r="G3" s="3" t="n">
        <v>7074866</v>
      </c>
      <c r="H3" s="2" t="n">
        <v>4.5</v>
      </c>
      <c r="I3" s="2" t="n">
        <v>4.2</v>
      </c>
      <c r="J3" s="2">
        <f>ROUND((H3*6)+(I3*8)+IF(F3="Indefinido",12,4), 0)</f>
        <v/>
      </c>
      <c r="K3" s="2">
        <f>ROUND(J3/12, 1)</f>
        <v/>
      </c>
      <c r="L3" s="2" t="inlineStr">
        <is>
          <t>Bajo</t>
        </is>
      </c>
    </row>
    <row r="4">
      <c r="A4" s="2" t="inlineStr">
        <is>
          <t>EMP-103</t>
        </is>
      </c>
      <c r="B4" s="2" t="inlineStr">
        <is>
          <t>Carlos Gómez</t>
        </is>
      </c>
      <c r="C4" s="2" t="inlineStr">
        <is>
          <t>Finanzas</t>
        </is>
      </c>
      <c r="D4" s="2" t="inlineStr">
        <is>
          <t>Analista Financiero</t>
        </is>
      </c>
      <c r="E4" s="2" t="inlineStr">
        <is>
          <t>2021-04-24</t>
        </is>
      </c>
      <c r="F4" s="2" t="inlineStr">
        <is>
          <t>Indefinido</t>
        </is>
      </c>
      <c r="G4" s="3" t="n">
        <v>4334068</v>
      </c>
      <c r="H4" s="2" t="n">
        <v>3.8</v>
      </c>
      <c r="I4" s="2" t="n">
        <v>2.6</v>
      </c>
      <c r="J4" s="2">
        <f>ROUND((H4*6)+(I4*8)+IF(F4="Indefinido",12,4), 0)</f>
        <v/>
      </c>
      <c r="K4" s="2">
        <f>ROUND(J4/12, 1)</f>
        <v/>
      </c>
      <c r="L4" s="2" t="inlineStr">
        <is>
          <t>Alto</t>
        </is>
      </c>
    </row>
    <row r="5">
      <c r="A5" s="2" t="inlineStr">
        <is>
          <t>EMP-104</t>
        </is>
      </c>
      <c r="B5" s="2" t="inlineStr">
        <is>
          <t>Ana Martínez</t>
        </is>
      </c>
      <c r="C5" s="2" t="inlineStr">
        <is>
          <t>Operaciones</t>
        </is>
      </c>
      <c r="D5" s="2" t="inlineStr">
        <is>
          <t>Coordinador Logístico</t>
        </is>
      </c>
      <c r="E5" s="2" t="inlineStr">
        <is>
          <t>2020-10-31</t>
        </is>
      </c>
      <c r="F5" s="2" t="inlineStr">
        <is>
          <t>Fijo 1 Año</t>
        </is>
      </c>
      <c r="G5" s="3" t="n">
        <v>7071300</v>
      </c>
      <c r="H5" s="2" t="n">
        <v>4.2</v>
      </c>
      <c r="I5" s="2" t="n">
        <v>3.9</v>
      </c>
      <c r="J5" s="2">
        <f>ROUND((H5*6)+(I5*8)+IF(F5="Indefinido",12,4), 0)</f>
        <v/>
      </c>
      <c r="K5" s="2">
        <f>ROUND(J5/12, 1)</f>
        <v/>
      </c>
      <c r="L5" s="2" t="inlineStr">
        <is>
          <t>Medio</t>
        </is>
      </c>
    </row>
    <row r="6">
      <c r="A6" s="2" t="inlineStr">
        <is>
          <t>EMP-105</t>
        </is>
      </c>
      <c r="B6" s="2" t="inlineStr">
        <is>
          <t>Luis Hernández</t>
        </is>
      </c>
      <c r="C6" s="2" t="inlineStr">
        <is>
          <t>Tecnología</t>
        </is>
      </c>
      <c r="D6" s="2" t="inlineStr">
        <is>
          <t>Desarrollador Senior</t>
        </is>
      </c>
      <c r="E6" s="2" t="inlineStr">
        <is>
          <t>2019-03-28</t>
        </is>
      </c>
      <c r="F6" s="2" t="inlineStr">
        <is>
          <t>Indefinido</t>
        </is>
      </c>
      <c r="G6" s="3" t="n">
        <v>2554515</v>
      </c>
      <c r="H6" s="2" t="n">
        <v>3.9</v>
      </c>
      <c r="I6" s="2" t="n">
        <v>3.2</v>
      </c>
      <c r="J6" s="2">
        <f>ROUND((H6*6)+(I6*8)+IF(F6="Indefinido",12,4), 0)</f>
        <v/>
      </c>
      <c r="K6" s="2">
        <f>ROUND(J6/12, 1)</f>
        <v/>
      </c>
      <c r="L6" s="2" t="inlineStr">
        <is>
          <t>Medio</t>
        </is>
      </c>
    </row>
    <row r="7">
      <c r="A7" s="2" t="inlineStr">
        <is>
          <t>EMP-106</t>
        </is>
      </c>
      <c r="B7" s="2" t="inlineStr">
        <is>
          <t>Laura López</t>
        </is>
      </c>
      <c r="C7" s="2" t="inlineStr">
        <is>
          <t>Ventas</t>
        </is>
      </c>
      <c r="D7" s="2" t="inlineStr">
        <is>
          <t>Ejecutivo de Ventas</t>
        </is>
      </c>
      <c r="E7" s="2" t="inlineStr">
        <is>
          <t>2021-11-30</t>
        </is>
      </c>
      <c r="F7" s="2" t="inlineStr">
        <is>
          <t>Fijo 1 Año</t>
        </is>
      </c>
      <c r="G7" s="3" t="n">
        <v>4306182</v>
      </c>
      <c r="H7" s="2" t="n">
        <v>3.8</v>
      </c>
      <c r="I7" s="2" t="n">
        <v>3.2</v>
      </c>
      <c r="J7" s="2">
        <f>ROUND((H7*6)+(I7*8)+IF(F7="Indefinido",12,4), 0)</f>
        <v/>
      </c>
      <c r="K7" s="2">
        <f>ROUND(J7/12, 1)</f>
        <v/>
      </c>
      <c r="L7" s="2" t="inlineStr">
        <is>
          <t>Medio</t>
        </is>
      </c>
    </row>
    <row r="8">
      <c r="A8" s="2" t="inlineStr">
        <is>
          <t>EMP-107</t>
        </is>
      </c>
      <c r="B8" s="2" t="inlineStr">
        <is>
          <t>Diego González</t>
        </is>
      </c>
      <c r="C8" s="2" t="inlineStr">
        <is>
          <t>Recursos Humanos</t>
        </is>
      </c>
      <c r="D8" s="2" t="inlineStr">
        <is>
          <t>Generalista RH</t>
        </is>
      </c>
      <c r="E8" s="2" t="inlineStr">
        <is>
          <t>2018-07-29</t>
        </is>
      </c>
      <c r="F8" s="2" t="inlineStr">
        <is>
          <t>Obra o Labor</t>
        </is>
      </c>
      <c r="G8" s="3" t="n">
        <v>5385309</v>
      </c>
      <c r="H8" s="2" t="n">
        <v>3.2</v>
      </c>
      <c r="I8" s="2" t="n">
        <v>2.7</v>
      </c>
      <c r="J8" s="2">
        <f>ROUND((H8*6)+(I8*8)+IF(F8="Indefinido",12,4), 0)</f>
        <v/>
      </c>
      <c r="K8" s="2">
        <f>ROUND(J8/12, 1)</f>
        <v/>
      </c>
      <c r="L8" s="2" t="inlineStr">
        <is>
          <t>Alto</t>
        </is>
      </c>
    </row>
    <row r="9">
      <c r="A9" s="2" t="inlineStr">
        <is>
          <t>EMP-108</t>
        </is>
      </c>
      <c r="B9" s="2" t="inlineStr">
        <is>
          <t>Sofía Torres</t>
        </is>
      </c>
      <c r="C9" s="2" t="inlineStr">
        <is>
          <t>Finanzas</t>
        </is>
      </c>
      <c r="D9" s="2" t="inlineStr">
        <is>
          <t>Analista Financiero</t>
        </is>
      </c>
      <c r="E9" s="2" t="inlineStr">
        <is>
          <t>2019-06-26</t>
        </is>
      </c>
      <c r="F9" s="2" t="inlineStr">
        <is>
          <t>Indefinido</t>
        </is>
      </c>
      <c r="G9" s="3" t="n">
        <v>6998207</v>
      </c>
      <c r="H9" s="2" t="n">
        <v>4.6</v>
      </c>
      <c r="I9" s="2" t="n">
        <v>4.3</v>
      </c>
      <c r="J9" s="2">
        <f>ROUND((H9*6)+(I9*8)+IF(F9="Indefinido",12,4), 0)</f>
        <v/>
      </c>
      <c r="K9" s="2">
        <f>ROUND(J9/12, 1)</f>
        <v/>
      </c>
      <c r="L9" s="2" t="inlineStr">
        <is>
          <t>Bajo</t>
        </is>
      </c>
    </row>
    <row r="10">
      <c r="A10" s="2" t="inlineStr">
        <is>
          <t>EMP-109</t>
        </is>
      </c>
      <c r="B10" s="2" t="inlineStr">
        <is>
          <t>Javier Ramírez</t>
        </is>
      </c>
      <c r="C10" s="2" t="inlineStr">
        <is>
          <t>Operaciones</t>
        </is>
      </c>
      <c r="D10" s="2" t="inlineStr">
        <is>
          <t>Coordinador Logístico</t>
        </is>
      </c>
      <c r="E10" s="2" t="inlineStr">
        <is>
          <t>2020-02-15</t>
        </is>
      </c>
      <c r="F10" s="2" t="inlineStr">
        <is>
          <t>Obra o Labor</t>
        </is>
      </c>
      <c r="G10" s="3" t="n">
        <v>5533614</v>
      </c>
      <c r="H10" s="2" t="n">
        <v>3.2</v>
      </c>
      <c r="I10" s="2" t="n">
        <v>3.2</v>
      </c>
      <c r="J10" s="2">
        <f>ROUND((H10*6)+(I10*8)+IF(F10="Indefinido",12,4), 0)</f>
        <v/>
      </c>
      <c r="K10" s="2">
        <f>ROUND(J10/12, 1)</f>
        <v/>
      </c>
      <c r="L10" s="2" t="inlineStr">
        <is>
          <t>Medio</t>
        </is>
      </c>
    </row>
    <row r="11">
      <c r="A11" s="2" t="inlineStr">
        <is>
          <t>EMP-110</t>
        </is>
      </c>
      <c r="B11" s="2" t="inlineStr">
        <is>
          <t>Valeria Flores</t>
        </is>
      </c>
      <c r="C11" s="2" t="inlineStr">
        <is>
          <t>Tecnología</t>
        </is>
      </c>
      <c r="D11" s="2" t="inlineStr">
        <is>
          <t>Desarrollador Senior</t>
        </is>
      </c>
      <c r="E11" s="2" t="inlineStr">
        <is>
          <t>2019-01-29</t>
        </is>
      </c>
      <c r="F11" s="2" t="inlineStr">
        <is>
          <t>Fijo 1 Año</t>
        </is>
      </c>
      <c r="G11" s="3" t="n">
        <v>4411749</v>
      </c>
      <c r="H11" s="2" t="n">
        <v>4.4</v>
      </c>
      <c r="I11" s="2" t="n">
        <v>2.6</v>
      </c>
      <c r="J11" s="2">
        <f>ROUND((H11*6)+(I11*8)+IF(F11="Indefinido",12,4), 0)</f>
        <v/>
      </c>
      <c r="K11" s="2">
        <f>ROUND(J11/12, 1)</f>
        <v/>
      </c>
      <c r="L11" s="2" t="inlineStr">
        <is>
          <t>Alto</t>
        </is>
      </c>
    </row>
    <row r="12">
      <c r="A12" s="2" t="inlineStr">
        <is>
          <t>EMP-111</t>
        </is>
      </c>
      <c r="B12" s="2" t="inlineStr">
        <is>
          <t>Fernando Ruiz</t>
        </is>
      </c>
      <c r="C12" s="2" t="inlineStr">
        <is>
          <t>Ventas</t>
        </is>
      </c>
      <c r="D12" s="2" t="inlineStr">
        <is>
          <t>Ejecutivo de Ventas</t>
        </is>
      </c>
      <c r="E12" s="2" t="inlineStr">
        <is>
          <t>2018-06-13</t>
        </is>
      </c>
      <c r="F12" s="2" t="inlineStr">
        <is>
          <t>Fijo 1 Año</t>
        </is>
      </c>
      <c r="G12" s="3" t="n">
        <v>5688729</v>
      </c>
      <c r="H12" s="2" t="n">
        <v>4.7</v>
      </c>
      <c r="I12" s="2" t="n">
        <v>4.7</v>
      </c>
      <c r="J12" s="2">
        <f>ROUND((H12*6)+(I12*8)+IF(F12="Indefinido",12,4), 0)</f>
        <v/>
      </c>
      <c r="K12" s="2">
        <f>ROUND(J12/12, 1)</f>
        <v/>
      </c>
      <c r="L12" s="2" t="inlineStr">
        <is>
          <t>Bajo</t>
        </is>
      </c>
    </row>
    <row r="13">
      <c r="A13" s="2" t="inlineStr">
        <is>
          <t>EMP-112</t>
        </is>
      </c>
      <c r="B13" s="2" t="inlineStr">
        <is>
          <t>Camila Morales</t>
        </is>
      </c>
      <c r="C13" s="2" t="inlineStr">
        <is>
          <t>Recursos Humanos</t>
        </is>
      </c>
      <c r="D13" s="2" t="inlineStr">
        <is>
          <t>Generalista RH</t>
        </is>
      </c>
      <c r="E13" s="2" t="inlineStr">
        <is>
          <t>2020-07-17</t>
        </is>
      </c>
      <c r="F13" s="2" t="inlineStr">
        <is>
          <t>Fijo 1 Año</t>
        </is>
      </c>
      <c r="G13" s="3" t="n">
        <v>5605303</v>
      </c>
      <c r="H13" s="2" t="n">
        <v>4.3</v>
      </c>
      <c r="I13" s="2" t="n">
        <v>3.4</v>
      </c>
      <c r="J13" s="2">
        <f>ROUND((H13*6)+(I13*8)+IF(F13="Indefinido",12,4), 0)</f>
        <v/>
      </c>
      <c r="K13" s="2">
        <f>ROUND(J13/12, 1)</f>
        <v/>
      </c>
      <c r="L13" s="2" t="inlineStr">
        <is>
          <t>Medio</t>
        </is>
      </c>
    </row>
    <row r="14">
      <c r="A14" s="2" t="inlineStr">
        <is>
          <t>EMP-113</t>
        </is>
      </c>
      <c r="B14" s="2" t="inlineStr">
        <is>
          <t>Gabriel Castro</t>
        </is>
      </c>
      <c r="C14" s="2" t="inlineStr">
        <is>
          <t>Finanzas</t>
        </is>
      </c>
      <c r="D14" s="2" t="inlineStr">
        <is>
          <t>Analista Financiero</t>
        </is>
      </c>
      <c r="E14" s="2" t="inlineStr">
        <is>
          <t>2019-03-06</t>
        </is>
      </c>
      <c r="F14" s="2" t="inlineStr">
        <is>
          <t>Obra o Labor</t>
        </is>
      </c>
      <c r="G14" s="3" t="n">
        <v>3098967</v>
      </c>
      <c r="H14" s="2" t="n">
        <v>4.3</v>
      </c>
      <c r="I14" s="2" t="n">
        <v>4.3</v>
      </c>
      <c r="J14" s="2">
        <f>ROUND((H14*6)+(I14*8)+IF(F14="Indefinido",12,4), 0)</f>
        <v/>
      </c>
      <c r="K14" s="2">
        <f>ROUND(J14/12, 1)</f>
        <v/>
      </c>
      <c r="L14" s="2" t="inlineStr">
        <is>
          <t>Bajo</t>
        </is>
      </c>
    </row>
    <row r="15">
      <c r="A15" s="2" t="inlineStr">
        <is>
          <t>EMP-114</t>
        </is>
      </c>
      <c r="B15" s="2" t="inlineStr">
        <is>
          <t>Lucía Ortiz</t>
        </is>
      </c>
      <c r="C15" s="2" t="inlineStr">
        <is>
          <t>Operaciones</t>
        </is>
      </c>
      <c r="D15" s="2" t="inlineStr">
        <is>
          <t>Coordinador Logístico</t>
        </is>
      </c>
      <c r="E15" s="2" t="inlineStr">
        <is>
          <t>2021-07-24</t>
        </is>
      </c>
      <c r="F15" s="2" t="inlineStr">
        <is>
          <t>Fijo 1 Año</t>
        </is>
      </c>
      <c r="G15" s="3" t="n">
        <v>3870719</v>
      </c>
      <c r="H15" s="2" t="n">
        <v>3.3</v>
      </c>
      <c r="I15" s="2" t="n">
        <v>4.3</v>
      </c>
      <c r="J15" s="2">
        <f>ROUND((H15*6)+(I15*8)+IF(F15="Indefinido",12,4), 0)</f>
        <v/>
      </c>
      <c r="K15" s="2">
        <f>ROUND(J15/12, 1)</f>
        <v/>
      </c>
      <c r="L15" s="2" t="inlineStr">
        <is>
          <t>Bajo</t>
        </is>
      </c>
    </row>
    <row r="16">
      <c r="A16" s="2" t="inlineStr">
        <is>
          <t>EMP-115</t>
        </is>
      </c>
      <c r="B16" s="2" t="inlineStr">
        <is>
          <t>Alejandro Silva</t>
        </is>
      </c>
      <c r="C16" s="2" t="inlineStr">
        <is>
          <t>Tecnología</t>
        </is>
      </c>
      <c r="D16" s="2" t="inlineStr">
        <is>
          <t>Desarrollador Senior</t>
        </is>
      </c>
      <c r="E16" s="2" t="inlineStr">
        <is>
          <t>2020-02-17</t>
        </is>
      </c>
      <c r="F16" s="2" t="inlineStr">
        <is>
          <t>Indefinido</t>
        </is>
      </c>
      <c r="G16" s="3" t="n">
        <v>7172033</v>
      </c>
      <c r="H16" s="2" t="n">
        <v>3.5</v>
      </c>
      <c r="I16" s="2" t="n">
        <v>4.8</v>
      </c>
      <c r="J16" s="2">
        <f>ROUND((H16*6)+(I16*8)+IF(F16="Indefinido",12,4), 0)</f>
        <v/>
      </c>
      <c r="K16" s="2">
        <f>ROUND(J16/12, 1)</f>
        <v/>
      </c>
      <c r="L16" s="2" t="inlineStr">
        <is>
          <t>Bajo</t>
        </is>
      </c>
    </row>
    <row r="17">
      <c r="A17" s="2" t="inlineStr">
        <is>
          <t>EMP-116</t>
        </is>
      </c>
      <c r="B17" s="2" t="inlineStr">
        <is>
          <t>Elena Vargas</t>
        </is>
      </c>
      <c r="C17" s="2" t="inlineStr">
        <is>
          <t>Ventas</t>
        </is>
      </c>
      <c r="D17" s="2" t="inlineStr">
        <is>
          <t>Ejecutivo de Ventas</t>
        </is>
      </c>
      <c r="E17" s="2" t="inlineStr">
        <is>
          <t>2021-11-03</t>
        </is>
      </c>
      <c r="F17" s="2" t="inlineStr">
        <is>
          <t>Indefinido</t>
        </is>
      </c>
      <c r="G17" s="3" t="n">
        <v>2969241</v>
      </c>
      <c r="H17" s="2" t="n">
        <v>3.6</v>
      </c>
      <c r="I17" s="2" t="n">
        <v>4.4</v>
      </c>
      <c r="J17" s="2">
        <f>ROUND((H17*6)+(I17*8)+IF(F17="Indefinido",12,4), 0)</f>
        <v/>
      </c>
      <c r="K17" s="2">
        <f>ROUND(J17/12, 1)</f>
        <v/>
      </c>
      <c r="L17" s="2" t="inlineStr">
        <is>
          <t>Bajo</t>
        </is>
      </c>
    </row>
    <row r="18">
      <c r="A18" s="2" t="inlineStr">
        <is>
          <t>EMP-117</t>
        </is>
      </c>
      <c r="B18" s="2" t="inlineStr">
        <is>
          <t>Mateo Mendoza</t>
        </is>
      </c>
      <c r="C18" s="2" t="inlineStr">
        <is>
          <t>Recursos Humanos</t>
        </is>
      </c>
      <c r="D18" s="2" t="inlineStr">
        <is>
          <t>Generalista RH</t>
        </is>
      </c>
      <c r="E18" s="2" t="inlineStr">
        <is>
          <t>2022-08-11</t>
        </is>
      </c>
      <c r="F18" s="2" t="inlineStr">
        <is>
          <t>Indefinido</t>
        </is>
      </c>
      <c r="G18" s="3" t="n">
        <v>4745973</v>
      </c>
      <c r="H18" s="2" t="n">
        <v>3.1</v>
      </c>
      <c r="I18" s="2" t="n">
        <v>3.3</v>
      </c>
      <c r="J18" s="2">
        <f>ROUND((H18*6)+(I18*8)+IF(F18="Indefinido",12,4), 0)</f>
        <v/>
      </c>
      <c r="K18" s="2">
        <f>ROUND(J18/12, 1)</f>
        <v/>
      </c>
      <c r="L18" s="2" t="inlineStr">
        <is>
          <t>Medio</t>
        </is>
      </c>
    </row>
    <row r="19">
      <c r="A19" s="2" t="inlineStr">
        <is>
          <t>EMP-118</t>
        </is>
      </c>
      <c r="B19" s="2" t="inlineStr">
        <is>
          <t>Isabella Rojas</t>
        </is>
      </c>
      <c r="C19" s="2" t="inlineStr">
        <is>
          <t>Finanzas</t>
        </is>
      </c>
      <c r="D19" s="2" t="inlineStr">
        <is>
          <t>Analista Financiero</t>
        </is>
      </c>
      <c r="E19" s="2" t="inlineStr">
        <is>
          <t>2019-03-09</t>
        </is>
      </c>
      <c r="F19" s="2" t="inlineStr">
        <is>
          <t>Indefinido</t>
        </is>
      </c>
      <c r="G19" s="3" t="n">
        <v>5139709</v>
      </c>
      <c r="H19" s="2" t="n">
        <v>4.8</v>
      </c>
      <c r="I19" s="2" t="n">
        <v>3.9</v>
      </c>
      <c r="J19" s="2">
        <f>ROUND((H19*6)+(I19*8)+IF(F19="Indefinido",12,4), 0)</f>
        <v/>
      </c>
      <c r="K19" s="2">
        <f>ROUND(J19/12, 1)</f>
        <v/>
      </c>
      <c r="L19" s="2" t="inlineStr">
        <is>
          <t>Medio</t>
        </is>
      </c>
    </row>
    <row r="20">
      <c r="A20" s="2" t="inlineStr">
        <is>
          <t>EMP-119</t>
        </is>
      </c>
      <c r="B20" s="2" t="inlineStr">
        <is>
          <t>Daniel Navarro</t>
        </is>
      </c>
      <c r="C20" s="2" t="inlineStr">
        <is>
          <t>Operaciones</t>
        </is>
      </c>
      <c r="D20" s="2" t="inlineStr">
        <is>
          <t>Coordinador Logístico</t>
        </is>
      </c>
      <c r="E20" s="2" t="inlineStr">
        <is>
          <t>2021-09-04</t>
        </is>
      </c>
      <c r="F20" s="2" t="inlineStr">
        <is>
          <t>Indefinido</t>
        </is>
      </c>
      <c r="G20" s="3" t="n">
        <v>6349128</v>
      </c>
      <c r="H20" s="2" t="n">
        <v>4</v>
      </c>
      <c r="I20" s="2" t="n">
        <v>4.7</v>
      </c>
      <c r="J20" s="2">
        <f>ROUND((H20*6)+(I20*8)+IF(F20="Indefinido",12,4), 0)</f>
        <v/>
      </c>
      <c r="K20" s="2">
        <f>ROUND(J20/12, 1)</f>
        <v/>
      </c>
      <c r="L20" s="2" t="inlineStr">
        <is>
          <t>Bajo</t>
        </is>
      </c>
    </row>
    <row r="21">
      <c r="A21" s="2" t="inlineStr">
        <is>
          <t>EMP-120</t>
        </is>
      </c>
      <c r="B21" s="2" t="inlineStr">
        <is>
          <t>Victoria Guerrero</t>
        </is>
      </c>
      <c r="C21" s="2" t="inlineStr">
        <is>
          <t>Tecnología</t>
        </is>
      </c>
      <c r="D21" s="2" t="inlineStr">
        <is>
          <t>Desarrollador Senior</t>
        </is>
      </c>
      <c r="E21" s="2" t="inlineStr">
        <is>
          <t>2019-06-27</t>
        </is>
      </c>
      <c r="F21" s="2" t="inlineStr">
        <is>
          <t>Fijo 1 Año</t>
        </is>
      </c>
      <c r="G21" s="3" t="n">
        <v>7021269</v>
      </c>
      <c r="H21" s="2" t="n">
        <v>3.3</v>
      </c>
      <c r="I21" s="2" t="n">
        <v>4.4</v>
      </c>
      <c r="J21" s="2">
        <f>ROUND((H21*6)+(I21*8)+IF(F21="Indefinido",12,4), 0)</f>
        <v/>
      </c>
      <c r="K21" s="2">
        <f>ROUND(J21/12, 1)</f>
        <v/>
      </c>
      <c r="L21" s="2" t="inlineStr">
        <is>
          <t>Bajo</t>
        </is>
      </c>
    </row>
    <row r="22">
      <c r="A22" s="4" t="inlineStr">
        <is>
          <t>PROMEDIO / TOTAL</t>
        </is>
      </c>
      <c r="B22" s="4" t="inlineStr"/>
      <c r="C22" s="4" t="inlineStr"/>
      <c r="D22" s="4" t="inlineStr"/>
      <c r="E22" s="4" t="inlineStr"/>
      <c r="F22" s="4" t="inlineStr"/>
      <c r="G22" s="5">
        <f>AVERAGE(G2:G21)</f>
        <v/>
      </c>
      <c r="H22" s="4">
        <f>AVERAGE(H2:H21)</f>
        <v/>
      </c>
      <c r="I22" s="4">
        <f>AVERAGE(I2:I21)</f>
        <v/>
      </c>
      <c r="J22" s="4">
        <f>AVERAGE(J2:J21)</f>
        <v/>
      </c>
      <c r="K22" s="4">
        <f>AVERAGE(K2:K21)</f>
        <v/>
      </c>
      <c r="L2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  <col width="94" customWidth="1" min="3" max="3"/>
    <col width="94" customWidth="1" min="4" max="4"/>
  </cols>
  <sheetData>
    <row r="1">
      <c r="A1" s="6" t="inlineStr">
        <is>
          <t>Departamento</t>
        </is>
      </c>
      <c r="B1" s="6" t="inlineStr">
        <is>
          <t>Cantidad Empleados</t>
        </is>
      </c>
      <c r="C1" s="6" t="inlineStr">
        <is>
          <t>Promedio Permanencia (Años)</t>
        </is>
      </c>
      <c r="D1" s="6" t="inlineStr">
        <is>
          <t>Salario Promedio ($)</t>
        </is>
      </c>
    </row>
    <row r="2">
      <c r="A2" s="2" t="inlineStr">
        <is>
          <t>Tecnología</t>
        </is>
      </c>
      <c r="B2" s="2">
        <f>COUNTIF(Consolidado_General!C$2:C$21, "Tecnología")</f>
        <v/>
      </c>
      <c r="C2" s="7">
        <f>AVERAGEIF(Consolidado_General!C$2:C$21, "Tecnología", Consolidado_General!K$2:K$21)</f>
        <v/>
      </c>
      <c r="D2" s="3">
        <f>AVERAGEIF(Consolidado_General!C$2:C$21, "Tecnología", Consolidado_General!G$2:G$21)</f>
        <v/>
      </c>
    </row>
    <row r="3">
      <c r="A3" s="2" t="inlineStr">
        <is>
          <t>Ventas</t>
        </is>
      </c>
      <c r="B3" s="2">
        <f>COUNTIF(Consolidado_General!C$2:C$21, "Ventas")</f>
        <v/>
      </c>
      <c r="C3" s="7">
        <f>AVERAGEIF(Consolidado_General!C$2:C$21, "Ventas", Consolidado_General!K$2:K$21)</f>
        <v/>
      </c>
      <c r="D3" s="3">
        <f>AVERAGEIF(Consolidado_General!C$2:C$21, "Ventas", Consolidado_General!G$2:G$21)</f>
        <v/>
      </c>
    </row>
    <row r="4">
      <c r="A4" s="2" t="inlineStr">
        <is>
          <t>Recursos Humanos</t>
        </is>
      </c>
      <c r="B4" s="2">
        <f>COUNTIF(Consolidado_General!C$2:C$21, "Recursos Humanos")</f>
        <v/>
      </c>
      <c r="C4" s="7">
        <f>AVERAGEIF(Consolidado_General!C$2:C$21, "Recursos Humanos", Consolidado_General!K$2:K$21)</f>
        <v/>
      </c>
      <c r="D4" s="3">
        <f>AVERAGEIF(Consolidado_General!C$2:C$21, "Recursos Humanos", Consolidado_General!G$2:G$21)</f>
        <v/>
      </c>
    </row>
    <row r="5">
      <c r="A5" s="2" t="inlineStr">
        <is>
          <t>Finanzas</t>
        </is>
      </c>
      <c r="B5" s="2">
        <f>COUNTIF(Consolidado_General!C$2:C$21, "Finanzas")</f>
        <v/>
      </c>
      <c r="C5" s="7">
        <f>AVERAGEIF(Consolidado_General!C$2:C$21, "Finanzas", Consolidado_General!K$2:K$21)</f>
        <v/>
      </c>
      <c r="D5" s="3">
        <f>AVERAGEIF(Consolidado_General!C$2:C$21, "Finanzas", Consolidado_General!G$2:G$21)</f>
        <v/>
      </c>
    </row>
    <row r="6">
      <c r="A6" s="2" t="inlineStr">
        <is>
          <t>Operaciones</t>
        </is>
      </c>
      <c r="B6" s="2">
        <f>COUNTIF(Consolidado_General!C$2:C$21, "Operaciones")</f>
        <v/>
      </c>
      <c r="C6" s="7">
        <f>AVERAGEIF(Consolidado_General!C$2:C$21, "Operaciones", Consolidado_General!K$2:K$21)</f>
        <v/>
      </c>
      <c r="D6" s="3">
        <f>AVERAGEIF(Consolidado_General!C$2:C$21, "Operaciones", Consolidado_General!G$2:G$21)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2026-09-08T14:40:46Z</dcterms:created>
  <dcterms:modified xmlns:dcterms="http://purl.org/dc/terms/" xmlns:xsi="http://www.w3.org/2001/XMLSchema-instance" xsi:type="dcterms:W3CDTF">2026-09-08T14:40:46Z</dcterms:modified>
</cp:coreProperties>
</file>